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BJug5WOXFRju3kSVodbiaUFRprrR7G76NXZZqK0Qbw="/>
    </ext>
  </extLst>
</workbook>
</file>

<file path=xl/sharedStrings.xml><?xml version="1.0" encoding="utf-8"?>
<sst xmlns="http://schemas.openxmlformats.org/spreadsheetml/2006/main" count="15" uniqueCount="15">
  <si>
    <t xml:space="preserve">  План Серпень (21 днів)</t>
  </si>
  <si>
    <t>Відпрацьовано робочого часу днів</t>
  </si>
  <si>
    <t>Залишилось робочих днів</t>
  </si>
  <si>
    <t>Відпрацьовано робочого часу %</t>
  </si>
  <si>
    <t>Основний менеджер покупця</t>
  </si>
  <si>
    <t>План (грн)</t>
  </si>
  <si>
    <t>Виконання плану (грн)</t>
  </si>
  <si>
    <t>Виконання плану %</t>
  </si>
  <si>
    <t>Прогноз по виконанню (грн)</t>
  </si>
  <si>
    <t>Прогноз по виконанню %</t>
  </si>
  <si>
    <t>Залишилось до виконання плану грн</t>
  </si>
  <si>
    <t>Мінімальна сума продажу в день для виконання плану</t>
  </si>
  <si>
    <t>Протермінована заборгованість %</t>
  </si>
  <si>
    <t>Протермінована заборгованість (грн)</t>
  </si>
  <si>
    <t>Тестовий менеджер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</si>
</sst>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;[Red]\-#,##0\ "/>
    <numFmt numFmtId="165" formatCode="0.0%"/>
  </numFmts>
  <fonts count="8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ptos Narrow"/>
    </font>
    <font>
      <b/>
      <sz val="11.0"/>
      <color rgb="FF000000"/>
      <name val="Aptos Narrow"/>
    </font>
    <font>
      <b/>
      <sz val="12.0"/>
      <color theme="1"/>
      <name val="Aptos Narrow"/>
    </font>
    <font>
      <b/>
      <sz val="12.0"/>
      <color rgb="FF0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C0E4F5"/>
        <bgColor rgb="FFC0E4F5"/>
      </patternFill>
    </fill>
    <fill>
      <patternFill patternType="solid">
        <fgColor rgb="FF8ED873"/>
        <bgColor rgb="FF8ED873"/>
      </patternFill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DA9694"/>
        <bgColor rgb="FFDA9694"/>
      </patternFill>
    </fill>
    <fill>
      <patternFill patternType="solid">
        <fgColor rgb="FFDB5A5A"/>
        <bgColor rgb="FFDB5A5A"/>
      </patternFill>
    </fill>
    <fill>
      <patternFill patternType="solid">
        <fgColor rgb="FFFFEF9C"/>
        <bgColor rgb="FFFFEF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4" fillId="3" fontId="3" numFmtId="9" xfId="0" applyAlignment="1" applyBorder="1" applyFont="1" applyNumberForma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3" fillId="10" fontId="6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horizontal="center" shrinkToFit="0" vertical="center" wrapText="1"/>
    </xf>
    <xf borderId="1" fillId="5" fontId="6" numFmtId="164" xfId="0" applyAlignment="1" applyBorder="1" applyFont="1" applyNumberFormat="1">
      <alignment horizontal="center" vertical="center"/>
    </xf>
    <xf borderId="1" fillId="7" fontId="6" numFmtId="3" xfId="0" applyAlignment="1" applyBorder="1" applyFont="1" applyNumberFormat="1">
      <alignment horizontal="center" vertical="center"/>
    </xf>
    <xf borderId="1" fillId="7" fontId="6" numFmtId="9" xfId="0" applyAlignment="1" applyBorder="1" applyFont="1" applyNumberFormat="1">
      <alignment horizontal="center" vertical="center"/>
    </xf>
    <xf borderId="1" fillId="3" fontId="6" numFmtId="3" xfId="0" applyAlignment="1" applyBorder="1" applyFont="1" applyNumberFormat="1">
      <alignment horizontal="center" vertical="center"/>
    </xf>
    <xf borderId="1" fillId="3" fontId="6" numFmtId="10" xfId="0" applyAlignment="1" applyBorder="1" applyFont="1" applyNumberFormat="1">
      <alignment horizontal="center" vertical="center"/>
    </xf>
    <xf borderId="1" fillId="3" fontId="6" numFmtId="165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2.88"/>
    <col customWidth="1" min="3" max="4" width="13.38"/>
    <col customWidth="1" min="5" max="5" width="12.13"/>
    <col customWidth="1" min="6" max="6" width="15.25"/>
    <col customWidth="1" min="7" max="7" width="14.0"/>
    <col customWidth="1" min="8" max="8" width="13.63"/>
    <col customWidth="1" min="9" max="9" width="17.75"/>
    <col customWidth="1" min="10" max="10" width="15.13"/>
    <col customWidth="1" min="11" max="11" width="18.25"/>
    <col customWidth="1" min="12" max="26" width="7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9.25" customHeight="1">
      <c r="A3" s="2"/>
      <c r="B3" s="4" t="s">
        <v>1</v>
      </c>
      <c r="C3" s="5">
        <v>11.0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2"/>
      <c r="B4" s="6" t="s">
        <v>2</v>
      </c>
      <c r="C4" s="5">
        <v>10.0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2"/>
      <c r="B5" s="4" t="s">
        <v>3</v>
      </c>
      <c r="C5" s="7">
        <v>0.55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8.5" customHeight="1">
      <c r="A6" s="2"/>
      <c r="B6" s="8" t="s">
        <v>4</v>
      </c>
      <c r="C6" s="9" t="s">
        <v>5</v>
      </c>
      <c r="D6" s="10" t="s">
        <v>6</v>
      </c>
      <c r="E6" s="10" t="s">
        <v>7</v>
      </c>
      <c r="F6" s="11" t="s">
        <v>8</v>
      </c>
      <c r="G6" s="11" t="s">
        <v>9</v>
      </c>
      <c r="H6" s="12" t="s">
        <v>10</v>
      </c>
      <c r="I6" s="12" t="s">
        <v>11</v>
      </c>
      <c r="J6" s="13" t="s">
        <v>12</v>
      </c>
      <c r="K6" s="14" t="s">
        <v>13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5"/>
      <c r="B7" s="16" t="s">
        <v>14</v>
      </c>
      <c r="C7" s="17">
        <v>123323.0</v>
      </c>
      <c r="D7" s="18">
        <v>23233.0</v>
      </c>
      <c r="E7" s="19">
        <f>D7/C7</f>
        <v>0.1883914598</v>
      </c>
      <c r="F7" s="20">
        <f>(D7/$C$3)*$C$4+D7</f>
        <v>44353.90909</v>
      </c>
      <c r="G7" s="21">
        <f>F7/C7</f>
        <v>0.3596564233</v>
      </c>
      <c r="H7" s="20">
        <f>C7-D7</f>
        <v>100090</v>
      </c>
      <c r="I7" s="20">
        <f>H7/$C$4</f>
        <v>10009</v>
      </c>
      <c r="J7" s="22">
        <f>K7/D7</f>
        <v>0.005294193604</v>
      </c>
      <c r="K7" s="23">
        <v>123.0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2025-08-11T11:15:09Z</dcterms:created>
</cp:coreProperties>
</file>